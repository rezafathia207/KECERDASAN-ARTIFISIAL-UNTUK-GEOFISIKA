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SEMESTER 3\KECERDASAN AI\TUGAS 2\"/>
    </mc:Choice>
  </mc:AlternateContent>
  <xr:revisionPtr revIDLastSave="0" documentId="13_ncr:1_{BB40899E-77A2-40F4-93F6-90AADC71042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shboard" sheetId="1" r:id="rId1"/>
    <sheet name="Data Lahan" sheetId="2" r:id="rId2"/>
    <sheet name="Ringkasa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C18" i="3"/>
  <c r="B18" i="3"/>
  <c r="C17" i="3"/>
  <c r="B17" i="3"/>
  <c r="C13" i="3"/>
  <c r="B13" i="3"/>
  <c r="C12" i="3"/>
  <c r="B12" i="3"/>
  <c r="C11" i="3"/>
  <c r="B11" i="3"/>
  <c r="C10" i="3"/>
  <c r="B10" i="3"/>
  <c r="C9" i="3"/>
  <c r="B9" i="3"/>
  <c r="C8" i="3"/>
  <c r="B8" i="3"/>
  <c r="B5" i="3"/>
  <c r="J5" i="1" s="1"/>
  <c r="B4" i="3"/>
  <c r="D12" i="3" s="1"/>
  <c r="B3" i="3"/>
  <c r="B5" i="1" s="1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F5" i="1"/>
  <c r="D10" i="3" l="1"/>
  <c r="B14" i="3"/>
  <c r="C14" i="3"/>
  <c r="D9" i="3"/>
  <c r="D11" i="3"/>
  <c r="D13" i="3"/>
  <c r="D8" i="3"/>
  <c r="D14" i="3" l="1"/>
</calcChain>
</file>

<file path=xl/sharedStrings.xml><?xml version="1.0" encoding="utf-8"?>
<sst xmlns="http://schemas.openxmlformats.org/spreadsheetml/2006/main" count="218" uniqueCount="81">
  <si>
    <t>Dashboard Pendataan Lahan</t>
  </si>
  <si>
    <t>Total Petak</t>
  </si>
  <si>
    <t>Total Luas (ha)</t>
  </si>
  <si>
    <t>Rata-rata Kemiringan (%)</t>
  </si>
  <si>
    <t>Pendataan Lahan – Data Contoh</t>
  </si>
  <si>
    <t>ID Lahan</t>
  </si>
  <si>
    <t>Kecamatan</t>
  </si>
  <si>
    <t>Desa</t>
  </si>
  <si>
    <t>Penggunaan Lahan</t>
  </si>
  <si>
    <t>Status Kepemilikan</t>
  </si>
  <si>
    <t>Jenis Tanah</t>
  </si>
  <si>
    <t>Luas (ha)</t>
  </si>
  <si>
    <t>Kemiringan (%)</t>
  </si>
  <si>
    <t>Elevasi (m)</t>
  </si>
  <si>
    <t>Kategori Lereng</t>
  </si>
  <si>
    <t>LHN-001</t>
  </si>
  <si>
    <t>Pallangga</t>
  </si>
  <si>
    <t>Bungaejaya</t>
  </si>
  <si>
    <t>Hutan</t>
  </si>
  <si>
    <t>Hak Milik</t>
  </si>
  <si>
    <t>Aluvial</t>
  </si>
  <si>
    <t>LHN-002</t>
  </si>
  <si>
    <t>Tamalate</t>
  </si>
  <si>
    <t>Barombong</t>
  </si>
  <si>
    <t>Sawah</t>
  </si>
  <si>
    <t>Regosol</t>
  </si>
  <si>
    <t>LHN-003</t>
  </si>
  <si>
    <t>Moncongloe</t>
  </si>
  <si>
    <t>Moncongloe Lappara</t>
  </si>
  <si>
    <t>Tambak</t>
  </si>
  <si>
    <t>Latosol</t>
  </si>
  <si>
    <t>LHN-004</t>
  </si>
  <si>
    <t>Tanralili</t>
  </si>
  <si>
    <t>Allepolea</t>
  </si>
  <si>
    <t>HGU</t>
  </si>
  <si>
    <t>LHN-005</t>
  </si>
  <si>
    <t>Bontomarannu</t>
  </si>
  <si>
    <t>Borongloe</t>
  </si>
  <si>
    <t>Tanah Negara</t>
  </si>
  <si>
    <t>LHN-006</t>
  </si>
  <si>
    <t>LHN-007</t>
  </si>
  <si>
    <t>Bontoramba</t>
  </si>
  <si>
    <t>Tanah Adat</t>
  </si>
  <si>
    <t>Podsolik</t>
  </si>
  <si>
    <t>LHN-008</t>
  </si>
  <si>
    <t>LHN-009</t>
  </si>
  <si>
    <t>Lekopancing</t>
  </si>
  <si>
    <t>LHN-010</t>
  </si>
  <si>
    <t>Lahan Kosong</t>
  </si>
  <si>
    <t>LHN-011</t>
  </si>
  <si>
    <t>LHN-012</t>
  </si>
  <si>
    <t>Pangkabinanga</t>
  </si>
  <si>
    <t>Permukiman</t>
  </si>
  <si>
    <t>LHN-013</t>
  </si>
  <si>
    <t>LHN-014</t>
  </si>
  <si>
    <t>LHN-015</t>
  </si>
  <si>
    <t>Romang Lompoa</t>
  </si>
  <si>
    <t>LHN-016</t>
  </si>
  <si>
    <t>LHN-017</t>
  </si>
  <si>
    <t>LHN-018</t>
  </si>
  <si>
    <t>Kebun</t>
  </si>
  <si>
    <t>LHN-019</t>
  </si>
  <si>
    <t>LHN-020</t>
  </si>
  <si>
    <t>LHN-021</t>
  </si>
  <si>
    <t>LHN-022</t>
  </si>
  <si>
    <t>LHN-023</t>
  </si>
  <si>
    <t>LHN-024</t>
  </si>
  <si>
    <t>LHN-025</t>
  </si>
  <si>
    <t>LHN-026</t>
  </si>
  <si>
    <t>LHN-027</t>
  </si>
  <si>
    <t>LHN-028</t>
  </si>
  <si>
    <t>Parang Tambung</t>
  </si>
  <si>
    <t>LHN-029</t>
  </si>
  <si>
    <t>LHN-030</t>
  </si>
  <si>
    <t>Ringkasan Pendataan Lahan</t>
  </si>
  <si>
    <t>Total petak lahan</t>
  </si>
  <si>
    <t>Total luas (ha)</t>
  </si>
  <si>
    <t>Rata-rata kemiringan (%)</t>
  </si>
  <si>
    <t>Jumlah Petak</t>
  </si>
  <si>
    <t>% Luas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</si>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</sst>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8"/>
      <color rgb="FFD6336C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22"/>
      <color rgb="FFD6336C"/>
      <name val="Arial"/>
      <charset val="1"/>
    </font>
    <font>
      <b/>
      <sz val="14"/>
      <color rgb="FFD6336C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6336C"/>
        <bgColor rgb="FFC2255C"/>
      </patternFill>
    </fill>
    <fill>
      <patternFill patternType="solid">
        <fgColor rgb="FFFCE4EC"/>
        <bgColor rgb="FFFFFFFF"/>
      </patternFill>
    </fill>
  </fills>
  <borders count="2">
    <border>
      <left/>
      <right/>
      <top/>
      <bottom/>
      <diagonal/>
    </border>
    <border>
      <left style="thin">
        <color rgb="FFF4B6C8"/>
      </left>
      <right style="thin">
        <color rgb="FFF4B6C8"/>
      </right>
      <top style="thin">
        <color rgb="FFF4B6C8"/>
      </top>
      <bottom style="thin">
        <color rgb="FFF4B6C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0" borderId="1" xfId="0" applyFont="1" applyBorder="1"/>
    <xf numFmtId="2" fontId="8" fillId="0" borderId="1" xfId="0" applyNumberFormat="1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9" fillId="0" borderId="1" xfId="0" applyFont="1" applyBorder="1"/>
    <xf numFmtId="0" fontId="7" fillId="3" borderId="1" xfId="0" applyFont="1" applyFill="1" applyBorder="1"/>
    <xf numFmtId="2" fontId="8" fillId="3" borderId="1" xfId="0" applyNumberFormat="1" applyFont="1" applyFill="1" applyBorder="1"/>
    <xf numFmtId="164" fontId="8" fillId="3" borderId="1" xfId="0" applyNumberFormat="1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10" fillId="0" borderId="0" xfId="0" applyFont="1"/>
    <xf numFmtId="0" fontId="9" fillId="0" borderId="0" xfId="0" applyFont="1"/>
    <xf numFmtId="4" fontId="9" fillId="0" borderId="0" xfId="0" applyNumberFormat="1" applyFont="1"/>
    <xf numFmtId="164" fontId="9" fillId="0" borderId="0" xfId="0" applyNumberFormat="1" applyFont="1"/>
    <xf numFmtId="0" fontId="6" fillId="2" borderId="0" xfId="0" applyFont="1" applyFill="1" applyAlignment="1">
      <alignment horizontal="center"/>
    </xf>
    <xf numFmtId="165" fontId="9" fillId="0" borderId="0" xfId="0" applyNumberFormat="1" applyFont="1"/>
    <xf numFmtId="0" fontId="10" fillId="3" borderId="0" xfId="0" applyFont="1" applyFill="1"/>
    <xf numFmtId="4" fontId="10" fillId="3" borderId="0" xfId="0" applyNumberFormat="1" applyFont="1" applyFill="1"/>
    <xf numFmtId="165" fontId="10" fillId="3" borderId="0" xfId="0" applyNumberFormat="1" applyFont="1" applyFill="1"/>
    <xf numFmtId="0" fontId="1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1" fontId="4" fillId="3" borderId="0" xfId="0" applyNumberFormat="1" applyFont="1" applyFill="1" applyBorder="1" applyAlignment="1">
      <alignment horizontal="center" vertical="center"/>
    </xf>
    <xf numFmtId="4" fontId="4" fillId="3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C2B5B"/>
      <rgbColor rgb="FFFCE4EC"/>
      <rgbColor rgb="FFCCFFFF"/>
      <rgbColor rgb="FF660066"/>
      <rgbColor rgb="FFF06595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AA2C1"/>
      <rgbColor rgb="FFE599B5"/>
      <rgbColor rgb="FFF4B6C8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D6336C"/>
      <rgbColor rgb="FFC2255C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Luas per Penggunaan Lahan (ha)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Ringkasan!$C$7</c:f>
              <c:strCache>
                <c:ptCount val="1"/>
                <c:pt idx="0">
                  <c:v>Luas (ha)</c:v>
                </c:pt>
              </c:strCache>
            </c:strRef>
          </c:tx>
          <c:spPr>
            <a:solidFill>
              <a:srgbClr val="D6336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Ringkasan!$A$8:$A$13</c:f>
              <c:strCache>
                <c:ptCount val="6"/>
                <c:pt idx="0">
                  <c:v>Sawah</c:v>
                </c:pt>
                <c:pt idx="1">
                  <c:v>Kebun</c:v>
                </c:pt>
                <c:pt idx="2">
                  <c:v>Permukiman</c:v>
                </c:pt>
                <c:pt idx="3">
                  <c:v>Hutan</c:v>
                </c:pt>
                <c:pt idx="4">
                  <c:v>Tambak</c:v>
                </c:pt>
                <c:pt idx="5">
                  <c:v>Lahan Kosong</c:v>
                </c:pt>
              </c:strCache>
            </c:strRef>
          </c:cat>
          <c:val>
            <c:numRef>
              <c:f>Ringkasan!$C$8:$C$13</c:f>
              <c:numCache>
                <c:formatCode>#,##0.00</c:formatCode>
                <c:ptCount val="6"/>
                <c:pt idx="0">
                  <c:v>32.97</c:v>
                </c:pt>
                <c:pt idx="1">
                  <c:v>27.229999999999997</c:v>
                </c:pt>
                <c:pt idx="2">
                  <c:v>2.56</c:v>
                </c:pt>
                <c:pt idx="3">
                  <c:v>56.21</c:v>
                </c:pt>
                <c:pt idx="4">
                  <c:v>55.040000000000006</c:v>
                </c:pt>
                <c:pt idx="5">
                  <c:v>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4-4A02-BEF1-9C454FFF4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20412"/>
        <c:axId val="43459662"/>
      </c:barChart>
      <c:catAx>
        <c:axId val="745204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59662"/>
        <c:crosses val="autoZero"/>
        <c:auto val="1"/>
        <c:lblAlgn val="ctr"/>
        <c:lblOffset val="100"/>
        <c:noMultiLvlLbl val="0"/>
      </c:catAx>
      <c:valAx>
        <c:axId val="434596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5204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Proporsi Luas Penggunaan Lahan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Ringkasan!$C$7</c:f>
              <c:strCache>
                <c:ptCount val="1"/>
                <c:pt idx="0">
                  <c:v>Luas (ha)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6336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9A6-44CF-BF4B-6D6C8EF10A58}"/>
              </c:ext>
            </c:extLst>
          </c:dPt>
          <c:dPt>
            <c:idx val="1"/>
            <c:bubble3D val="0"/>
            <c:spPr>
              <a:solidFill>
                <a:srgbClr val="F065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9A6-44CF-BF4B-6D6C8EF10A58}"/>
              </c:ext>
            </c:extLst>
          </c:dPt>
          <c:dPt>
            <c:idx val="2"/>
            <c:bubble3D val="0"/>
            <c:spPr>
              <a:solidFill>
                <a:srgbClr val="FAA2C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9A6-44CF-BF4B-6D6C8EF10A58}"/>
              </c:ext>
            </c:extLst>
          </c:dPt>
          <c:dPt>
            <c:idx val="3"/>
            <c:bubble3D val="0"/>
            <c:spPr>
              <a:solidFill>
                <a:srgbClr val="C2255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9A6-44CF-BF4B-6D6C8EF10A58}"/>
              </c:ext>
            </c:extLst>
          </c:dPt>
          <c:dPt>
            <c:idx val="4"/>
            <c:bubble3D val="0"/>
            <c:spPr>
              <a:solidFill>
                <a:srgbClr val="E599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9A6-44CF-BF4B-6D6C8EF10A58}"/>
              </c:ext>
            </c:extLst>
          </c:dPt>
          <c:dPt>
            <c:idx val="5"/>
            <c:bubble3D val="0"/>
            <c:spPr>
              <a:solidFill>
                <a:srgbClr val="9C2B5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9A6-44CF-BF4B-6D6C8EF10A5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A6-44CF-BF4B-6D6C8EF10A5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A6-44CF-BF4B-6D6C8EF10A5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A6-44CF-BF4B-6D6C8EF10A5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A6-44CF-BF4B-6D6C8EF10A5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9A6-44CF-BF4B-6D6C8EF10A58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9A6-44CF-BF4B-6D6C8EF10A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Ringkasan!$A$8:$A$13</c:f>
              <c:strCache>
                <c:ptCount val="6"/>
                <c:pt idx="0">
                  <c:v>Sawah</c:v>
                </c:pt>
                <c:pt idx="1">
                  <c:v>Kebun</c:v>
                </c:pt>
                <c:pt idx="2">
                  <c:v>Permukiman</c:v>
                </c:pt>
                <c:pt idx="3">
                  <c:v>Hutan</c:v>
                </c:pt>
                <c:pt idx="4">
                  <c:v>Tambak</c:v>
                </c:pt>
                <c:pt idx="5">
                  <c:v>Lahan Kosong</c:v>
                </c:pt>
              </c:strCache>
            </c:strRef>
          </c:cat>
          <c:val>
            <c:numRef>
              <c:f>Ringkasan!$C$8:$C$13</c:f>
              <c:numCache>
                <c:formatCode>#,##0.00</c:formatCode>
                <c:ptCount val="6"/>
                <c:pt idx="0">
                  <c:v>32.97</c:v>
                </c:pt>
                <c:pt idx="1">
                  <c:v>27.229999999999997</c:v>
                </c:pt>
                <c:pt idx="2">
                  <c:v>2.56</c:v>
                </c:pt>
                <c:pt idx="3">
                  <c:v>56.21</c:v>
                </c:pt>
                <c:pt idx="4">
                  <c:v>55.040000000000006</c:v>
                </c:pt>
                <c:pt idx="5">
                  <c:v>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9A6-44CF-BF4B-6D6C8EF10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Luas per Kecamatan (ha)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Ringkasan!$C$16</c:f>
              <c:strCache>
                <c:ptCount val="1"/>
                <c:pt idx="0">
                  <c:v>Luas (ha)</c:v>
                </c:pt>
              </c:strCache>
            </c:strRef>
          </c:tx>
          <c:spPr>
            <a:solidFill>
              <a:srgbClr val="F0659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Ringkasan!$A$17:$A$21</c:f>
              <c:strCache>
                <c:ptCount val="5"/>
                <c:pt idx="0">
                  <c:v>Tamalate</c:v>
                </c:pt>
                <c:pt idx="1">
                  <c:v>Bontomarannu</c:v>
                </c:pt>
                <c:pt idx="2">
                  <c:v>Pallangga</c:v>
                </c:pt>
                <c:pt idx="3">
                  <c:v>Moncongloe</c:v>
                </c:pt>
                <c:pt idx="4">
                  <c:v>Tanralili</c:v>
                </c:pt>
              </c:strCache>
            </c:strRef>
          </c:cat>
          <c:val>
            <c:numRef>
              <c:f>Ringkasan!$C$17:$C$21</c:f>
              <c:numCache>
                <c:formatCode>#,##0.00</c:formatCode>
                <c:ptCount val="5"/>
                <c:pt idx="0">
                  <c:v>21.07</c:v>
                </c:pt>
                <c:pt idx="1">
                  <c:v>50.769999999999996</c:v>
                </c:pt>
                <c:pt idx="2">
                  <c:v>23.659999999999997</c:v>
                </c:pt>
                <c:pt idx="3">
                  <c:v>32.700000000000003</c:v>
                </c:pt>
                <c:pt idx="4">
                  <c:v>52.79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3-4F48-9760-827E3493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38913"/>
        <c:axId val="54068624"/>
      </c:barChart>
      <c:catAx>
        <c:axId val="2173891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68624"/>
        <c:crosses val="autoZero"/>
        <c:auto val="1"/>
        <c:lblAlgn val="ctr"/>
        <c:lblOffset val="100"/>
        <c:noMultiLvlLbl val="0"/>
      </c:catAx>
      <c:valAx>
        <c:axId val="540686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389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100800</xdr:rowOff>
    </xdr:from>
    <xdr:to>
      <xdr:col>8</xdr:col>
      <xdr:colOff>105480</xdr:colOff>
      <xdr:row>20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100800</xdr:rowOff>
    </xdr:from>
    <xdr:to>
      <xdr:col>14</xdr:col>
      <xdr:colOff>90720</xdr:colOff>
      <xdr:row>20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22</xdr:row>
      <xdr:rowOff>101160</xdr:rowOff>
    </xdr:from>
    <xdr:to>
      <xdr:col>8</xdr:col>
      <xdr:colOff>105480</xdr:colOff>
      <xdr:row>36</xdr:row>
      <xdr:rowOff>133560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han" displayName="tblLahan" ref="A4:J34" totalsRowShown="0">
  <autoFilter ref="A4:J34" xr:uid="{00000000-0009-0000-0100-000001000000}"/>
  <tableColumns count="10">
    <tableColumn id="1" xr3:uid="{00000000-0010-0000-0000-000001000000}" name="ID Lahan"/>
    <tableColumn id="2" xr3:uid="{00000000-0010-0000-0000-000002000000}" name="Kecamatan"/>
    <tableColumn id="3" xr3:uid="{00000000-0010-0000-0000-000003000000}" name="Desa"/>
    <tableColumn id="4" xr3:uid="{00000000-0010-0000-0000-000004000000}" name="Penggunaan Lahan"/>
    <tableColumn id="5" xr3:uid="{00000000-0010-0000-0000-000005000000}" name="Status Kepemilikan"/>
    <tableColumn id="6" xr3:uid="{00000000-0010-0000-0000-000006000000}" name="Jenis Tanah"/>
    <tableColumn id="7" xr3:uid="{00000000-0010-0000-0000-000007000000}" name="Luas (ha)"/>
    <tableColumn id="8" xr3:uid="{00000000-0010-0000-0000-000008000000}" name="Kemiringan (%)"/>
    <tableColumn id="9" xr3:uid="{00000000-0010-0000-0000-000009000000}" name="Elevasi (m)"/>
    <tableColumn id="10" xr3:uid="{00000000-0010-0000-0000-00000A000000}" name="Kategori Lere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"/>
  <sheetViews>
    <sheetView showGridLines="0" topLeftCell="A28" zoomScaleNormal="100" workbookViewId="0">
      <selection activeCell="Q12" sqref="Q12"/>
    </sheetView>
  </sheetViews>
  <sheetFormatPr defaultColWidth="8.6640625" defaultRowHeight="14.4" x14ac:dyDescent="0.3"/>
  <cols>
    <col min="1" max="1" width="3" customWidth="1"/>
    <col min="2" max="14" width="10" customWidth="1"/>
  </cols>
  <sheetData>
    <row r="1" spans="1:15" ht="22.8" x14ac:dyDescent="0.4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B2" s="1"/>
    </row>
    <row r="4" spans="1:15" x14ac:dyDescent="0.3">
      <c r="B4" s="24" t="s">
        <v>1</v>
      </c>
      <c r="C4" s="24"/>
      <c r="D4" s="24"/>
      <c r="F4" s="24" t="s">
        <v>2</v>
      </c>
      <c r="G4" s="24"/>
      <c r="H4" s="24"/>
      <c r="J4" s="24" t="s">
        <v>3</v>
      </c>
      <c r="K4" s="24"/>
      <c r="L4" s="24"/>
    </row>
    <row r="5" spans="1:15" x14ac:dyDescent="0.3">
      <c r="B5" s="25">
        <f>Ringkasan!B3</f>
        <v>30</v>
      </c>
      <c r="C5" s="25"/>
      <c r="D5" s="25"/>
      <c r="F5" s="26">
        <f>Ringkasan!B4</f>
        <v>180.99</v>
      </c>
      <c r="G5" s="26"/>
      <c r="H5" s="26"/>
      <c r="J5" s="27">
        <f>Ringkasan!B5</f>
        <v>15.973333333333333</v>
      </c>
      <c r="K5" s="27"/>
      <c r="L5" s="27"/>
    </row>
    <row r="6" spans="1:15" x14ac:dyDescent="0.3">
      <c r="B6" s="25"/>
      <c r="C6" s="25"/>
      <c r="D6" s="25"/>
      <c r="F6" s="26"/>
      <c r="G6" s="26"/>
      <c r="H6" s="26"/>
      <c r="J6" s="27"/>
      <c r="K6" s="27"/>
      <c r="L6" s="27"/>
    </row>
  </sheetData>
  <mergeCells count="7">
    <mergeCell ref="A1:O1"/>
    <mergeCell ref="B4:D4"/>
    <mergeCell ref="F4:H4"/>
    <mergeCell ref="J4:L4"/>
    <mergeCell ref="B5:D6"/>
    <mergeCell ref="F5:H6"/>
    <mergeCell ref="J5:L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4"/>
  <sheetViews>
    <sheetView tabSelected="1" zoomScaleNormal="100" workbookViewId="0">
      <pane ySplit="4" topLeftCell="A5" activePane="bottomLeft" state="frozen"/>
      <selection pane="bottomLeft" activeCell="P17" sqref="P17"/>
    </sheetView>
  </sheetViews>
  <sheetFormatPr defaultColWidth="8.6640625" defaultRowHeight="14.4" x14ac:dyDescent="0.3"/>
  <cols>
    <col min="1" max="1" width="11" customWidth="1"/>
    <col min="2" max="2" width="15" customWidth="1"/>
    <col min="3" max="3" width="20" customWidth="1"/>
    <col min="4" max="5" width="18" customWidth="1"/>
    <col min="6" max="6" width="12" customWidth="1"/>
    <col min="7" max="7" width="10" customWidth="1"/>
    <col min="8" max="8" width="13" customWidth="1"/>
    <col min="9" max="9" width="11" customWidth="1"/>
    <col min="10" max="10" width="15" customWidth="1"/>
  </cols>
  <sheetData>
    <row r="1" spans="1:10" ht="17.399999999999999" x14ac:dyDescent="0.3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x14ac:dyDescent="0.3">
      <c r="A2" s="1"/>
    </row>
    <row r="4" spans="1:10" ht="30" customHeight="1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1:10" x14ac:dyDescent="0.3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5">
        <v>9.91</v>
      </c>
      <c r="H5" s="6">
        <v>3.3</v>
      </c>
      <c r="I5" s="7">
        <v>154</v>
      </c>
      <c r="J5" s="8" t="str">
        <f t="shared" ref="J5:J34" si="0">IF(H5&lt;8,"Datar",IF(H5&lt;15,"Landai",IF(H5&lt;25,"Agak Curam","Curam")))</f>
        <v>Datar</v>
      </c>
    </row>
    <row r="6" spans="1:10" x14ac:dyDescent="0.3">
      <c r="A6" s="9" t="s">
        <v>21</v>
      </c>
      <c r="B6" s="9" t="s">
        <v>22</v>
      </c>
      <c r="C6" s="9" t="s">
        <v>23</v>
      </c>
      <c r="D6" s="9" t="s">
        <v>24</v>
      </c>
      <c r="E6" s="9" t="s">
        <v>19</v>
      </c>
      <c r="F6" s="9" t="s">
        <v>25</v>
      </c>
      <c r="G6" s="10">
        <v>5.19</v>
      </c>
      <c r="H6" s="11">
        <v>8.4</v>
      </c>
      <c r="I6" s="12">
        <v>146</v>
      </c>
      <c r="J6" s="13" t="str">
        <f t="shared" si="0"/>
        <v>Landai</v>
      </c>
    </row>
    <row r="7" spans="1:10" x14ac:dyDescent="0.3">
      <c r="A7" s="4" t="s">
        <v>26</v>
      </c>
      <c r="B7" s="4" t="s">
        <v>27</v>
      </c>
      <c r="C7" s="4" t="s">
        <v>28</v>
      </c>
      <c r="D7" s="4" t="s">
        <v>29</v>
      </c>
      <c r="E7" s="4" t="s">
        <v>19</v>
      </c>
      <c r="F7" s="4" t="s">
        <v>30</v>
      </c>
      <c r="G7" s="5">
        <v>7.68</v>
      </c>
      <c r="H7" s="6">
        <v>20.399999999999999</v>
      </c>
      <c r="I7" s="7">
        <v>20</v>
      </c>
      <c r="J7" s="8" t="str">
        <f t="shared" si="0"/>
        <v>Agak Curam</v>
      </c>
    </row>
    <row r="8" spans="1:10" x14ac:dyDescent="0.3">
      <c r="A8" s="9" t="s">
        <v>31</v>
      </c>
      <c r="B8" s="9" t="s">
        <v>32</v>
      </c>
      <c r="C8" s="9" t="s">
        <v>33</v>
      </c>
      <c r="D8" s="9" t="s">
        <v>24</v>
      </c>
      <c r="E8" s="9" t="s">
        <v>34</v>
      </c>
      <c r="F8" s="9" t="s">
        <v>20</v>
      </c>
      <c r="G8" s="10">
        <v>6.81</v>
      </c>
      <c r="H8" s="11">
        <v>4.7</v>
      </c>
      <c r="I8" s="12">
        <v>112</v>
      </c>
      <c r="J8" s="13" t="str">
        <f t="shared" si="0"/>
        <v>Datar</v>
      </c>
    </row>
    <row r="9" spans="1:10" x14ac:dyDescent="0.3">
      <c r="A9" s="4" t="s">
        <v>35</v>
      </c>
      <c r="B9" s="4" t="s">
        <v>36</v>
      </c>
      <c r="C9" s="4" t="s">
        <v>37</v>
      </c>
      <c r="D9" s="4" t="s">
        <v>29</v>
      </c>
      <c r="E9" s="4" t="s">
        <v>38</v>
      </c>
      <c r="F9" s="4" t="s">
        <v>30</v>
      </c>
      <c r="G9" s="5">
        <v>1.51</v>
      </c>
      <c r="H9" s="6">
        <v>20</v>
      </c>
      <c r="I9" s="7">
        <v>53</v>
      </c>
      <c r="J9" s="8" t="str">
        <f t="shared" si="0"/>
        <v>Agak Curam</v>
      </c>
    </row>
    <row r="10" spans="1:10" x14ac:dyDescent="0.3">
      <c r="A10" s="9" t="s">
        <v>39</v>
      </c>
      <c r="B10" s="9" t="s">
        <v>16</v>
      </c>
      <c r="C10" s="9" t="s">
        <v>17</v>
      </c>
      <c r="D10" s="9" t="s">
        <v>29</v>
      </c>
      <c r="E10" s="9" t="s">
        <v>19</v>
      </c>
      <c r="F10" s="9" t="s">
        <v>20</v>
      </c>
      <c r="G10" s="10">
        <v>7.54</v>
      </c>
      <c r="H10" s="11">
        <v>17.399999999999999</v>
      </c>
      <c r="I10" s="12">
        <v>141</v>
      </c>
      <c r="J10" s="13" t="str">
        <f t="shared" si="0"/>
        <v>Agak Curam</v>
      </c>
    </row>
    <row r="11" spans="1:10" x14ac:dyDescent="0.3">
      <c r="A11" s="4" t="s">
        <v>40</v>
      </c>
      <c r="B11" s="4" t="s">
        <v>27</v>
      </c>
      <c r="C11" s="4" t="s">
        <v>41</v>
      </c>
      <c r="D11" s="4" t="s">
        <v>18</v>
      </c>
      <c r="E11" s="4" t="s">
        <v>42</v>
      </c>
      <c r="F11" s="4" t="s">
        <v>43</v>
      </c>
      <c r="G11" s="5">
        <v>3.81</v>
      </c>
      <c r="H11" s="6">
        <v>27.8</v>
      </c>
      <c r="I11" s="7">
        <v>183</v>
      </c>
      <c r="J11" s="8" t="str">
        <f t="shared" si="0"/>
        <v>Curam</v>
      </c>
    </row>
    <row r="12" spans="1:10" x14ac:dyDescent="0.3">
      <c r="A12" s="9" t="s">
        <v>44</v>
      </c>
      <c r="B12" s="9" t="s">
        <v>36</v>
      </c>
      <c r="C12" s="9" t="s">
        <v>37</v>
      </c>
      <c r="D12" s="9" t="s">
        <v>29</v>
      </c>
      <c r="E12" s="9" t="s">
        <v>38</v>
      </c>
      <c r="F12" s="9" t="s">
        <v>25</v>
      </c>
      <c r="G12" s="10">
        <v>10.54</v>
      </c>
      <c r="H12" s="11">
        <v>25.5</v>
      </c>
      <c r="I12" s="12">
        <v>78</v>
      </c>
      <c r="J12" s="13" t="str">
        <f t="shared" si="0"/>
        <v>Curam</v>
      </c>
    </row>
    <row r="13" spans="1:10" x14ac:dyDescent="0.3">
      <c r="A13" s="4" t="s">
        <v>45</v>
      </c>
      <c r="B13" s="4" t="s">
        <v>32</v>
      </c>
      <c r="C13" s="4" t="s">
        <v>46</v>
      </c>
      <c r="D13" s="4" t="s">
        <v>24</v>
      </c>
      <c r="E13" s="4" t="s">
        <v>42</v>
      </c>
      <c r="F13" s="4" t="s">
        <v>30</v>
      </c>
      <c r="G13" s="5">
        <v>9.16</v>
      </c>
      <c r="H13" s="6">
        <v>5.3</v>
      </c>
      <c r="I13" s="7">
        <v>130</v>
      </c>
      <c r="J13" s="8" t="str">
        <f t="shared" si="0"/>
        <v>Datar</v>
      </c>
    </row>
    <row r="14" spans="1:10" x14ac:dyDescent="0.3">
      <c r="A14" s="9" t="s">
        <v>47</v>
      </c>
      <c r="B14" s="9" t="s">
        <v>27</v>
      </c>
      <c r="C14" s="9" t="s">
        <v>28</v>
      </c>
      <c r="D14" s="9" t="s">
        <v>48</v>
      </c>
      <c r="E14" s="9" t="s">
        <v>19</v>
      </c>
      <c r="F14" s="9" t="s">
        <v>43</v>
      </c>
      <c r="G14" s="10">
        <v>4.28</v>
      </c>
      <c r="H14" s="11">
        <v>12.3</v>
      </c>
      <c r="I14" s="12">
        <v>132</v>
      </c>
      <c r="J14" s="13" t="str">
        <f t="shared" si="0"/>
        <v>Landai</v>
      </c>
    </row>
    <row r="15" spans="1:10" x14ac:dyDescent="0.3">
      <c r="A15" s="4" t="s">
        <v>49</v>
      </c>
      <c r="B15" s="4" t="s">
        <v>32</v>
      </c>
      <c r="C15" s="4" t="s">
        <v>33</v>
      </c>
      <c r="D15" s="4" t="s">
        <v>24</v>
      </c>
      <c r="E15" s="4" t="s">
        <v>19</v>
      </c>
      <c r="F15" s="4" t="s">
        <v>43</v>
      </c>
      <c r="G15" s="5">
        <v>5.85</v>
      </c>
      <c r="H15" s="6">
        <v>23.2</v>
      </c>
      <c r="I15" s="7">
        <v>20</v>
      </c>
      <c r="J15" s="8" t="str">
        <f t="shared" si="0"/>
        <v>Agak Curam</v>
      </c>
    </row>
    <row r="16" spans="1:10" x14ac:dyDescent="0.3">
      <c r="A16" s="9" t="s">
        <v>50</v>
      </c>
      <c r="B16" s="9" t="s">
        <v>16</v>
      </c>
      <c r="C16" s="9" t="s">
        <v>51</v>
      </c>
      <c r="D16" s="9" t="s">
        <v>52</v>
      </c>
      <c r="E16" s="9" t="s">
        <v>42</v>
      </c>
      <c r="F16" s="9" t="s">
        <v>43</v>
      </c>
      <c r="G16" s="10">
        <v>0.56000000000000005</v>
      </c>
      <c r="H16" s="11">
        <v>16.2</v>
      </c>
      <c r="I16" s="12">
        <v>48</v>
      </c>
      <c r="J16" s="13" t="str">
        <f t="shared" si="0"/>
        <v>Agak Curam</v>
      </c>
    </row>
    <row r="17" spans="1:10" x14ac:dyDescent="0.3">
      <c r="A17" s="4" t="s">
        <v>53</v>
      </c>
      <c r="B17" s="4" t="s">
        <v>32</v>
      </c>
      <c r="C17" s="4" t="s">
        <v>46</v>
      </c>
      <c r="D17" s="4" t="s">
        <v>18</v>
      </c>
      <c r="E17" s="4" t="s">
        <v>19</v>
      </c>
      <c r="F17" s="4" t="s">
        <v>30</v>
      </c>
      <c r="G17" s="5">
        <v>9.2899999999999991</v>
      </c>
      <c r="H17" s="6">
        <v>4.5</v>
      </c>
      <c r="I17" s="7">
        <v>68</v>
      </c>
      <c r="J17" s="8" t="str">
        <f t="shared" si="0"/>
        <v>Datar</v>
      </c>
    </row>
    <row r="18" spans="1:10" x14ac:dyDescent="0.3">
      <c r="A18" s="9" t="s">
        <v>54</v>
      </c>
      <c r="B18" s="9" t="s">
        <v>27</v>
      </c>
      <c r="C18" s="9" t="s">
        <v>41</v>
      </c>
      <c r="D18" s="9" t="s">
        <v>18</v>
      </c>
      <c r="E18" s="9" t="s">
        <v>19</v>
      </c>
      <c r="F18" s="9" t="s">
        <v>30</v>
      </c>
      <c r="G18" s="10">
        <v>5.56</v>
      </c>
      <c r="H18" s="11">
        <v>19.2</v>
      </c>
      <c r="I18" s="12">
        <v>231</v>
      </c>
      <c r="J18" s="13" t="str">
        <f t="shared" si="0"/>
        <v>Agak Curam</v>
      </c>
    </row>
    <row r="19" spans="1:10" x14ac:dyDescent="0.3">
      <c r="A19" s="4" t="s">
        <v>55</v>
      </c>
      <c r="B19" s="4" t="s">
        <v>36</v>
      </c>
      <c r="C19" s="4" t="s">
        <v>56</v>
      </c>
      <c r="D19" s="4" t="s">
        <v>29</v>
      </c>
      <c r="E19" s="4" t="s">
        <v>38</v>
      </c>
      <c r="F19" s="4" t="s">
        <v>25</v>
      </c>
      <c r="G19" s="5">
        <v>11.84</v>
      </c>
      <c r="H19" s="6">
        <v>23.9</v>
      </c>
      <c r="I19" s="7">
        <v>102</v>
      </c>
      <c r="J19" s="8" t="str">
        <f t="shared" si="0"/>
        <v>Agak Curam</v>
      </c>
    </row>
    <row r="20" spans="1:10" x14ac:dyDescent="0.3">
      <c r="A20" s="9" t="s">
        <v>57</v>
      </c>
      <c r="B20" s="9" t="s">
        <v>36</v>
      </c>
      <c r="C20" s="9" t="s">
        <v>37</v>
      </c>
      <c r="D20" s="9" t="s">
        <v>24</v>
      </c>
      <c r="E20" s="9" t="s">
        <v>34</v>
      </c>
      <c r="F20" s="9" t="s">
        <v>30</v>
      </c>
      <c r="G20" s="10">
        <v>3.01</v>
      </c>
      <c r="H20" s="11">
        <v>8.1999999999999993</v>
      </c>
      <c r="I20" s="12">
        <v>129</v>
      </c>
      <c r="J20" s="13" t="str">
        <f t="shared" si="0"/>
        <v>Landai</v>
      </c>
    </row>
    <row r="21" spans="1:10" x14ac:dyDescent="0.3">
      <c r="A21" s="4" t="s">
        <v>58</v>
      </c>
      <c r="B21" s="4" t="s">
        <v>32</v>
      </c>
      <c r="C21" s="4" t="s">
        <v>46</v>
      </c>
      <c r="D21" s="4" t="s">
        <v>52</v>
      </c>
      <c r="E21" s="4" t="s">
        <v>38</v>
      </c>
      <c r="F21" s="4" t="s">
        <v>20</v>
      </c>
      <c r="G21" s="5">
        <v>2</v>
      </c>
      <c r="H21" s="6">
        <v>18.7</v>
      </c>
      <c r="I21" s="7">
        <v>161</v>
      </c>
      <c r="J21" s="8" t="str">
        <f t="shared" si="0"/>
        <v>Agak Curam</v>
      </c>
    </row>
    <row r="22" spans="1:10" x14ac:dyDescent="0.3">
      <c r="A22" s="9" t="s">
        <v>59</v>
      </c>
      <c r="B22" s="9" t="s">
        <v>32</v>
      </c>
      <c r="C22" s="9" t="s">
        <v>33</v>
      </c>
      <c r="D22" s="9" t="s">
        <v>60</v>
      </c>
      <c r="E22" s="9" t="s">
        <v>19</v>
      </c>
      <c r="F22" s="9" t="s">
        <v>25</v>
      </c>
      <c r="G22" s="10">
        <v>10.82</v>
      </c>
      <c r="H22" s="11">
        <v>27.3</v>
      </c>
      <c r="I22" s="12">
        <v>228</v>
      </c>
      <c r="J22" s="13" t="str">
        <f t="shared" si="0"/>
        <v>Curam</v>
      </c>
    </row>
    <row r="23" spans="1:10" x14ac:dyDescent="0.3">
      <c r="A23" s="4" t="s">
        <v>61</v>
      </c>
      <c r="B23" s="4" t="s">
        <v>32</v>
      </c>
      <c r="C23" s="4" t="s">
        <v>33</v>
      </c>
      <c r="D23" s="4" t="s">
        <v>18</v>
      </c>
      <c r="E23" s="4" t="s">
        <v>42</v>
      </c>
      <c r="F23" s="4" t="s">
        <v>25</v>
      </c>
      <c r="G23" s="5">
        <v>1.51</v>
      </c>
      <c r="H23" s="6">
        <v>22.2</v>
      </c>
      <c r="I23" s="7">
        <v>20</v>
      </c>
      <c r="J23" s="8" t="str">
        <f t="shared" si="0"/>
        <v>Agak Curam</v>
      </c>
    </row>
    <row r="24" spans="1:10" x14ac:dyDescent="0.3">
      <c r="A24" s="9" t="s">
        <v>62</v>
      </c>
      <c r="B24" s="9" t="s">
        <v>36</v>
      </c>
      <c r="C24" s="9" t="s">
        <v>37</v>
      </c>
      <c r="D24" s="9" t="s">
        <v>60</v>
      </c>
      <c r="E24" s="9" t="s">
        <v>42</v>
      </c>
      <c r="F24" s="9" t="s">
        <v>30</v>
      </c>
      <c r="G24" s="10">
        <v>1.59</v>
      </c>
      <c r="H24" s="11">
        <v>21</v>
      </c>
      <c r="I24" s="12">
        <v>31</v>
      </c>
      <c r="J24" s="13" t="str">
        <f t="shared" si="0"/>
        <v>Agak Curam</v>
      </c>
    </row>
    <row r="25" spans="1:10" x14ac:dyDescent="0.3">
      <c r="A25" s="4" t="s">
        <v>63</v>
      </c>
      <c r="B25" s="4" t="s">
        <v>22</v>
      </c>
      <c r="C25" s="4" t="s">
        <v>23</v>
      </c>
      <c r="D25" s="4" t="s">
        <v>29</v>
      </c>
      <c r="E25" s="4" t="s">
        <v>19</v>
      </c>
      <c r="F25" s="4" t="s">
        <v>43</v>
      </c>
      <c r="G25" s="5">
        <v>7.48</v>
      </c>
      <c r="H25" s="6">
        <v>2.5</v>
      </c>
      <c r="I25" s="7">
        <v>58</v>
      </c>
      <c r="J25" s="8" t="str">
        <f t="shared" si="0"/>
        <v>Datar</v>
      </c>
    </row>
    <row r="26" spans="1:10" x14ac:dyDescent="0.3">
      <c r="A26" s="9" t="s">
        <v>64</v>
      </c>
      <c r="B26" s="9" t="s">
        <v>32</v>
      </c>
      <c r="C26" s="9" t="s">
        <v>33</v>
      </c>
      <c r="D26" s="9" t="s">
        <v>60</v>
      </c>
      <c r="E26" s="9" t="s">
        <v>38</v>
      </c>
      <c r="F26" s="9" t="s">
        <v>43</v>
      </c>
      <c r="G26" s="10">
        <v>7.35</v>
      </c>
      <c r="H26" s="11">
        <v>16.600000000000001</v>
      </c>
      <c r="I26" s="12">
        <v>34</v>
      </c>
      <c r="J26" s="13" t="str">
        <f t="shared" si="0"/>
        <v>Agak Curam</v>
      </c>
    </row>
    <row r="27" spans="1:10" x14ac:dyDescent="0.3">
      <c r="A27" s="4" t="s">
        <v>65</v>
      </c>
      <c r="B27" s="4" t="s">
        <v>27</v>
      </c>
      <c r="C27" s="4" t="s">
        <v>41</v>
      </c>
      <c r="D27" s="4" t="s">
        <v>18</v>
      </c>
      <c r="E27" s="4" t="s">
        <v>42</v>
      </c>
      <c r="F27" s="4" t="s">
        <v>43</v>
      </c>
      <c r="G27" s="5">
        <v>1.3</v>
      </c>
      <c r="H27" s="6">
        <v>3.6</v>
      </c>
      <c r="I27" s="7">
        <v>92</v>
      </c>
      <c r="J27" s="8" t="str">
        <f t="shared" si="0"/>
        <v>Datar</v>
      </c>
    </row>
    <row r="28" spans="1:10" x14ac:dyDescent="0.3">
      <c r="A28" s="9" t="s">
        <v>66</v>
      </c>
      <c r="B28" s="9" t="s">
        <v>16</v>
      </c>
      <c r="C28" s="9" t="s">
        <v>51</v>
      </c>
      <c r="D28" s="9" t="s">
        <v>48</v>
      </c>
      <c r="E28" s="9" t="s">
        <v>34</v>
      </c>
      <c r="F28" s="9" t="s">
        <v>20</v>
      </c>
      <c r="G28" s="10">
        <v>2.7</v>
      </c>
      <c r="H28" s="11">
        <v>33.299999999999997</v>
      </c>
      <c r="I28" s="12">
        <v>97</v>
      </c>
      <c r="J28" s="13" t="str">
        <f t="shared" si="0"/>
        <v>Curam</v>
      </c>
    </row>
    <row r="29" spans="1:10" x14ac:dyDescent="0.3">
      <c r="A29" s="4" t="s">
        <v>67</v>
      </c>
      <c r="B29" s="4" t="s">
        <v>36</v>
      </c>
      <c r="C29" s="4" t="s">
        <v>37</v>
      </c>
      <c r="D29" s="4" t="s">
        <v>29</v>
      </c>
      <c r="E29" s="4" t="s">
        <v>38</v>
      </c>
      <c r="F29" s="4" t="s">
        <v>20</v>
      </c>
      <c r="G29" s="5">
        <v>8.4499999999999993</v>
      </c>
      <c r="H29" s="6">
        <v>9.1</v>
      </c>
      <c r="I29" s="7">
        <v>98</v>
      </c>
      <c r="J29" s="8" t="str">
        <f t="shared" si="0"/>
        <v>Landai</v>
      </c>
    </row>
    <row r="30" spans="1:10" x14ac:dyDescent="0.3">
      <c r="A30" s="9" t="s">
        <v>68</v>
      </c>
      <c r="B30" s="9" t="s">
        <v>36</v>
      </c>
      <c r="C30" s="9" t="s">
        <v>56</v>
      </c>
      <c r="D30" s="9" t="s">
        <v>60</v>
      </c>
      <c r="E30" s="9" t="s">
        <v>38</v>
      </c>
      <c r="F30" s="9" t="s">
        <v>30</v>
      </c>
      <c r="G30" s="10">
        <v>7.47</v>
      </c>
      <c r="H30" s="11">
        <v>27.6</v>
      </c>
      <c r="I30" s="12">
        <v>199</v>
      </c>
      <c r="J30" s="13" t="str">
        <f t="shared" si="0"/>
        <v>Curam</v>
      </c>
    </row>
    <row r="31" spans="1:10" x14ac:dyDescent="0.3">
      <c r="A31" s="4" t="s">
        <v>69</v>
      </c>
      <c r="B31" s="4" t="s">
        <v>36</v>
      </c>
      <c r="C31" s="4" t="s">
        <v>37</v>
      </c>
      <c r="D31" s="4" t="s">
        <v>18</v>
      </c>
      <c r="E31" s="4" t="s">
        <v>34</v>
      </c>
      <c r="F31" s="4" t="s">
        <v>30</v>
      </c>
      <c r="G31" s="5">
        <v>6.36</v>
      </c>
      <c r="H31" s="6">
        <v>12.4</v>
      </c>
      <c r="I31" s="7">
        <v>12</v>
      </c>
      <c r="J31" s="8" t="str">
        <f t="shared" si="0"/>
        <v>Landai</v>
      </c>
    </row>
    <row r="32" spans="1:10" x14ac:dyDescent="0.3">
      <c r="A32" s="9" t="s">
        <v>70</v>
      </c>
      <c r="B32" s="9" t="s">
        <v>22</v>
      </c>
      <c r="C32" s="9" t="s">
        <v>71</v>
      </c>
      <c r="D32" s="9" t="s">
        <v>18</v>
      </c>
      <c r="E32" s="9" t="s">
        <v>38</v>
      </c>
      <c r="F32" s="9" t="s">
        <v>30</v>
      </c>
      <c r="G32" s="10">
        <v>8.4</v>
      </c>
      <c r="H32" s="11">
        <v>33.5</v>
      </c>
      <c r="I32" s="12">
        <v>119</v>
      </c>
      <c r="J32" s="13" t="str">
        <f t="shared" si="0"/>
        <v>Curam</v>
      </c>
    </row>
    <row r="33" spans="1:10" x14ac:dyDescent="0.3">
      <c r="A33" s="4" t="s">
        <v>72</v>
      </c>
      <c r="B33" s="4" t="s">
        <v>16</v>
      </c>
      <c r="C33" s="4" t="s">
        <v>51</v>
      </c>
      <c r="D33" s="4" t="s">
        <v>24</v>
      </c>
      <c r="E33" s="4" t="s">
        <v>34</v>
      </c>
      <c r="F33" s="4" t="s">
        <v>20</v>
      </c>
      <c r="G33" s="5">
        <v>2.95</v>
      </c>
      <c r="H33" s="6">
        <v>6.9</v>
      </c>
      <c r="I33" s="7">
        <v>57</v>
      </c>
      <c r="J33" s="8" t="str">
        <f t="shared" si="0"/>
        <v>Datar</v>
      </c>
    </row>
    <row r="34" spans="1:10" x14ac:dyDescent="0.3">
      <c r="A34" s="9" t="s">
        <v>73</v>
      </c>
      <c r="B34" s="9" t="s">
        <v>27</v>
      </c>
      <c r="C34" s="9" t="s">
        <v>28</v>
      </c>
      <c r="D34" s="9" t="s">
        <v>18</v>
      </c>
      <c r="E34" s="9" t="s">
        <v>38</v>
      </c>
      <c r="F34" s="9" t="s">
        <v>20</v>
      </c>
      <c r="G34" s="10">
        <v>10.07</v>
      </c>
      <c r="H34" s="11">
        <v>4.2</v>
      </c>
      <c r="I34" s="12">
        <v>104</v>
      </c>
      <c r="J34" s="13" t="str">
        <f t="shared" si="0"/>
        <v>Datar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1"/>
  <sheetViews>
    <sheetView topLeftCell="A7" zoomScaleNormal="100" workbookViewId="0">
      <selection activeCell="I12" sqref="I12"/>
    </sheetView>
  </sheetViews>
  <sheetFormatPr defaultColWidth="8.6640625" defaultRowHeight="14.4" x14ac:dyDescent="0.3"/>
  <cols>
    <col min="1" max="1" width="26" customWidth="1"/>
    <col min="2" max="3" width="14" customWidth="1"/>
    <col min="4" max="4" width="10" customWidth="1"/>
  </cols>
  <sheetData>
    <row r="1" spans="1:4" ht="17.399999999999999" x14ac:dyDescent="0.3">
      <c r="A1" s="2" t="s">
        <v>74</v>
      </c>
    </row>
    <row r="3" spans="1:4" x14ac:dyDescent="0.3">
      <c r="A3" s="14" t="s">
        <v>75</v>
      </c>
      <c r="B3" s="15">
        <f>COUNTA('Data Lahan'!$A$5:$A$34)</f>
        <v>30</v>
      </c>
    </row>
    <row r="4" spans="1:4" x14ac:dyDescent="0.3">
      <c r="A4" s="14" t="s">
        <v>76</v>
      </c>
      <c r="B4" s="16">
        <f>SUM('Data Lahan'!$G$5:$G$34)</f>
        <v>180.99</v>
      </c>
    </row>
    <row r="5" spans="1:4" x14ac:dyDescent="0.3">
      <c r="A5" s="14" t="s">
        <v>77</v>
      </c>
      <c r="B5" s="17">
        <f>AVERAGE('Data Lahan'!$H$5:$H$34)</f>
        <v>15.973333333333333</v>
      </c>
    </row>
    <row r="7" spans="1:4" x14ac:dyDescent="0.3">
      <c r="A7" s="18" t="s">
        <v>8</v>
      </c>
      <c r="B7" s="18" t="s">
        <v>78</v>
      </c>
      <c r="C7" s="18" t="s">
        <v>11</v>
      </c>
      <c r="D7" s="18" t="s">
        <v>79</v>
      </c>
    </row>
    <row r="8" spans="1:4" x14ac:dyDescent="0.3">
      <c r="A8" s="15" t="s">
        <v>24</v>
      </c>
      <c r="B8" s="15">
        <f>COUNTIF('Data Lahan'!$D$5:$D$34,A8)</f>
        <v>6</v>
      </c>
      <c r="C8" s="16">
        <f>SUMIFS('Data Lahan'!$G$5:$G$34,'Data Lahan'!$D$5:$D$34,A8)</f>
        <v>32.97</v>
      </c>
      <c r="D8" s="19">
        <f t="shared" ref="D8:D13" si="0">IF($B$4=0,0,C8/$B$4)</f>
        <v>0.18216476048400462</v>
      </c>
    </row>
    <row r="9" spans="1:4" x14ac:dyDescent="0.3">
      <c r="A9" s="15" t="s">
        <v>60</v>
      </c>
      <c r="B9" s="15">
        <f>COUNTIF('Data Lahan'!$D$5:$D$34,A9)</f>
        <v>4</v>
      </c>
      <c r="C9" s="16">
        <f>SUMIFS('Data Lahan'!$G$5:$G$34,'Data Lahan'!$D$5:$D$34,A9)</f>
        <v>27.229999999999997</v>
      </c>
      <c r="D9" s="19">
        <f t="shared" si="0"/>
        <v>0.1504503011216089</v>
      </c>
    </row>
    <row r="10" spans="1:4" x14ac:dyDescent="0.3">
      <c r="A10" s="15" t="s">
        <v>52</v>
      </c>
      <c r="B10" s="15">
        <f>COUNTIF('Data Lahan'!$D$5:$D$34,A10)</f>
        <v>2</v>
      </c>
      <c r="C10" s="16">
        <f>SUMIFS('Data Lahan'!$G$5:$G$34,'Data Lahan'!$D$5:$D$34,A10)</f>
        <v>2.56</v>
      </c>
      <c r="D10" s="19">
        <f t="shared" si="0"/>
        <v>1.4144427868943035E-2</v>
      </c>
    </row>
    <row r="11" spans="1:4" x14ac:dyDescent="0.3">
      <c r="A11" s="15" t="s">
        <v>18</v>
      </c>
      <c r="B11" s="15">
        <f>COUNTIF('Data Lahan'!$D$5:$D$34,A11)</f>
        <v>9</v>
      </c>
      <c r="C11" s="16">
        <f>SUMIFS('Data Lahan'!$G$5:$G$34,'Data Lahan'!$D$5:$D$34,A11)</f>
        <v>56.21</v>
      </c>
      <c r="D11" s="19">
        <f t="shared" si="0"/>
        <v>0.31056964473175314</v>
      </c>
    </row>
    <row r="12" spans="1:4" x14ac:dyDescent="0.3">
      <c r="A12" s="15" t="s">
        <v>29</v>
      </c>
      <c r="B12" s="15">
        <f>COUNTIF('Data Lahan'!$D$5:$D$34,A12)</f>
        <v>7</v>
      </c>
      <c r="C12" s="16">
        <f>SUMIFS('Data Lahan'!$G$5:$G$34,'Data Lahan'!$D$5:$D$34,A12)</f>
        <v>55.040000000000006</v>
      </c>
      <c r="D12" s="19">
        <f t="shared" si="0"/>
        <v>0.3041051991822753</v>
      </c>
    </row>
    <row r="13" spans="1:4" x14ac:dyDescent="0.3">
      <c r="A13" s="15" t="s">
        <v>48</v>
      </c>
      <c r="B13" s="15">
        <f>COUNTIF('Data Lahan'!$D$5:$D$34,A13)</f>
        <v>2</v>
      </c>
      <c r="C13" s="16">
        <f>SUMIFS('Data Lahan'!$G$5:$G$34,'Data Lahan'!$D$5:$D$34,A13)</f>
        <v>6.98</v>
      </c>
      <c r="D13" s="19">
        <f t="shared" si="0"/>
        <v>3.8565666611414993E-2</v>
      </c>
    </row>
    <row r="14" spans="1:4" x14ac:dyDescent="0.3">
      <c r="A14" s="20" t="s">
        <v>80</v>
      </c>
      <c r="B14" s="20">
        <f>SUM(B8:B13)</f>
        <v>30</v>
      </c>
      <c r="C14" s="21">
        <f>SUM(C8:C13)</f>
        <v>180.98999999999998</v>
      </c>
      <c r="D14" s="22">
        <f>SUM(D8:D13)</f>
        <v>1</v>
      </c>
    </row>
    <row r="16" spans="1:4" x14ac:dyDescent="0.3">
      <c r="A16" s="18" t="s">
        <v>6</v>
      </c>
      <c r="B16" s="18" t="s">
        <v>78</v>
      </c>
      <c r="C16" s="18" t="s">
        <v>11</v>
      </c>
    </row>
    <row r="17" spans="1:3" x14ac:dyDescent="0.3">
      <c r="A17" s="15" t="s">
        <v>22</v>
      </c>
      <c r="B17" s="15">
        <f>COUNTIF('Data Lahan'!$B$5:$B$34,A17)</f>
        <v>3</v>
      </c>
      <c r="C17" s="16">
        <f>SUMIFS('Data Lahan'!$G$5:$G$34,'Data Lahan'!$B$5:$B$34,A17)</f>
        <v>21.07</v>
      </c>
    </row>
    <row r="18" spans="1:3" x14ac:dyDescent="0.3">
      <c r="A18" s="15" t="s">
        <v>36</v>
      </c>
      <c r="B18" s="15">
        <f>COUNTIF('Data Lahan'!$B$5:$B$34,A18)</f>
        <v>8</v>
      </c>
      <c r="C18" s="16">
        <f>SUMIFS('Data Lahan'!$G$5:$G$34,'Data Lahan'!$B$5:$B$34,A18)</f>
        <v>50.769999999999996</v>
      </c>
    </row>
    <row r="19" spans="1:3" x14ac:dyDescent="0.3">
      <c r="A19" s="15" t="s">
        <v>16</v>
      </c>
      <c r="B19" s="15">
        <f>COUNTIF('Data Lahan'!$B$5:$B$34,A19)</f>
        <v>5</v>
      </c>
      <c r="C19" s="16">
        <f>SUMIFS('Data Lahan'!$G$5:$G$34,'Data Lahan'!$B$5:$B$34,A19)</f>
        <v>23.659999999999997</v>
      </c>
    </row>
    <row r="20" spans="1:3" x14ac:dyDescent="0.3">
      <c r="A20" s="15" t="s">
        <v>27</v>
      </c>
      <c r="B20" s="15">
        <f>COUNTIF('Data Lahan'!$B$5:$B$34,A20)</f>
        <v>6</v>
      </c>
      <c r="C20" s="16">
        <f>SUMIFS('Data Lahan'!$G$5:$G$34,'Data Lahan'!$B$5:$B$34,A20)</f>
        <v>32.700000000000003</v>
      </c>
    </row>
    <row r="21" spans="1:3" x14ac:dyDescent="0.3">
      <c r="A21" s="15" t="s">
        <v>32</v>
      </c>
      <c r="B21" s="15">
        <f>COUNTIF('Data Lahan'!$B$5:$B$34,A21)</f>
        <v>8</v>
      </c>
      <c r="C21" s="16">
        <f>SUMIFS('Data Lahan'!$G$5:$G$34,'Data Lahan'!$B$5:$B$34,A21)</f>
        <v>52.79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 Lahan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1</cp:revision>
  <dcterms:created xsi:type="dcterms:W3CDTF">2026-10-27T13:40:56Z</dcterms:created>
  <dcterms:modified xsi:type="dcterms:W3CDTF">2026-10-27T13:50:20Z</dcterms:modified>
  <dc:language>en-US</dc:language>
</cp:coreProperties>
</file>